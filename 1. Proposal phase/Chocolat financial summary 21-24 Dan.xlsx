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 &amp; Jen\Documents\"/>
    </mc:Choice>
  </mc:AlternateContent>
  <bookViews>
    <workbookView xWindow="0" yWindow="0" windowWidth="16815" windowHeight="8340" activeTab="1"/>
  </bookViews>
  <sheets>
    <sheet name="2021-2024 Income summary" sheetId="1" r:id="rId1"/>
    <sheet name="Change in revenue and Estimat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C7" i="1"/>
  <c r="B21" i="2"/>
  <c r="B23" i="2" s="1"/>
  <c r="C19" i="2"/>
  <c r="I5" i="2"/>
  <c r="G5" i="2"/>
  <c r="F5" i="2"/>
  <c r="B8" i="2"/>
  <c r="B7" i="2"/>
  <c r="B15" i="2"/>
  <c r="E15" i="2" s="1"/>
  <c r="E14" i="2"/>
  <c r="E13" i="2"/>
  <c r="E12" i="2"/>
  <c r="L2" i="1"/>
  <c r="L1" i="1"/>
  <c r="I11" i="1" l="1"/>
  <c r="I12" i="1"/>
  <c r="I13" i="1"/>
  <c r="I14" i="1"/>
  <c r="I15" i="1"/>
  <c r="I16" i="1"/>
  <c r="I17" i="1"/>
  <c r="I18" i="1"/>
  <c r="I19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5" i="1"/>
  <c r="E36" i="1" l="1"/>
  <c r="F3" i="1"/>
  <c r="G3" i="1"/>
  <c r="G7" i="1" s="1"/>
  <c r="G8" i="1" s="1"/>
  <c r="D21" i="1"/>
  <c r="I21" i="1" s="1"/>
  <c r="D20" i="1"/>
  <c r="I20" i="1" s="1"/>
  <c r="D7" i="1"/>
  <c r="E7" i="1"/>
  <c r="E8" i="1" s="1"/>
  <c r="G36" i="1"/>
  <c r="G37" i="1" s="1"/>
  <c r="G38" i="1" s="1"/>
  <c r="G39" i="1" s="1"/>
  <c r="F36" i="1"/>
  <c r="F37" i="1" s="1"/>
  <c r="F38" i="1" s="1"/>
  <c r="F39" i="1" s="1"/>
  <c r="D8" i="1" l="1"/>
  <c r="I8" i="1" s="1"/>
  <c r="F7" i="1"/>
  <c r="F8" i="1" s="1"/>
  <c r="I3" i="1"/>
  <c r="E44" i="1"/>
  <c r="E47" i="1" s="1"/>
  <c r="E48" i="1" s="1"/>
  <c r="E37" i="1"/>
  <c r="E38" i="1" s="1"/>
  <c r="E39" i="1" s="1"/>
  <c r="F44" i="1"/>
  <c r="F47" i="1" s="1"/>
  <c r="F48" i="1" s="1"/>
  <c r="G44" i="1"/>
  <c r="G47" i="1" s="1"/>
  <c r="G48" i="1" s="1"/>
  <c r="D36" i="1"/>
  <c r="I48" i="1" l="1"/>
  <c r="I7" i="1"/>
  <c r="D44" i="1"/>
  <c r="D47" i="1" s="1"/>
  <c r="I47" i="1" s="1"/>
  <c r="D37" i="1"/>
  <c r="I36" i="1"/>
  <c r="D38" i="1" l="1"/>
  <c r="I37" i="1"/>
  <c r="D39" i="1" l="1"/>
  <c r="I39" i="1" s="1"/>
  <c r="I38" i="1"/>
  <c r="I41" i="1" s="1"/>
  <c r="I49" i="1" l="1"/>
  <c r="I42" i="1"/>
</calcChain>
</file>

<file path=xl/sharedStrings.xml><?xml version="1.0" encoding="utf-8"?>
<sst xmlns="http://schemas.openxmlformats.org/spreadsheetml/2006/main" count="78" uniqueCount="74">
  <si>
    <t>Sales</t>
  </si>
  <si>
    <t>COGS</t>
  </si>
  <si>
    <t>Other revenue</t>
  </si>
  <si>
    <t>Total Revenue</t>
  </si>
  <si>
    <t>Gross Profit</t>
  </si>
  <si>
    <t>Expenses</t>
  </si>
  <si>
    <t>Advertising</t>
  </si>
  <si>
    <t>Consulting</t>
  </si>
  <si>
    <t>Insurance</t>
  </si>
  <si>
    <t>Interest short term debt</t>
  </si>
  <si>
    <t>Supplies</t>
  </si>
  <si>
    <t>Professional fees</t>
  </si>
  <si>
    <t>Occupancy Costs</t>
  </si>
  <si>
    <t>Repairs and Maintenance</t>
  </si>
  <si>
    <t>Utilities</t>
  </si>
  <si>
    <t>Credit Card Charges</t>
  </si>
  <si>
    <t>Equipment Rental</t>
  </si>
  <si>
    <t>Meals and Entertainment</t>
  </si>
  <si>
    <t>Security</t>
  </si>
  <si>
    <t>Telephone and telecom</t>
  </si>
  <si>
    <t>Amort of assets</t>
  </si>
  <si>
    <t>promotion</t>
  </si>
  <si>
    <t>donations</t>
  </si>
  <si>
    <t>Internet</t>
  </si>
  <si>
    <t>Business tax, license and membership</t>
  </si>
  <si>
    <t>Bank</t>
  </si>
  <si>
    <t>Office expenses</t>
  </si>
  <si>
    <t>Delivery Freight and express</t>
  </si>
  <si>
    <t>Total Expenses</t>
  </si>
  <si>
    <t>Net Income</t>
  </si>
  <si>
    <t>Subsidies and Grants</t>
  </si>
  <si>
    <t>Other Expenses</t>
  </si>
  <si>
    <t>Income tax expense</t>
  </si>
  <si>
    <t>Gross Profit Margin</t>
  </si>
  <si>
    <t>(Revenue-COGS/Revenue)</t>
  </si>
  <si>
    <t>Salaries, wages and employee benefits</t>
  </si>
  <si>
    <t>monthly operation costs  prior to salaries and wages</t>
  </si>
  <si>
    <t>77hrs/wk @ 21.30</t>
  </si>
  <si>
    <t>(This has one other person there every hour the store is open)</t>
  </si>
  <si>
    <t>Dan @ 9k</t>
  </si>
  <si>
    <t>Average total expenses including estimated salaries</t>
  </si>
  <si>
    <t>total less wages/salaries</t>
  </si>
  <si>
    <t>total Plus COGS</t>
  </si>
  <si>
    <t>This is the 4 yr average as reported to as</t>
  </si>
  <si>
    <t>Average assumed net income with estimated salaries</t>
  </si>
  <si>
    <t>Notes:</t>
  </si>
  <si>
    <t>I assume year end Sept 2025 is going to have continued decrease revenue</t>
  </si>
  <si>
    <t>There seems to be expenses missing from 2024 - phone, security, internet, ammortization</t>
  </si>
  <si>
    <t>2024 Net ncome seems too high with lower wages and salaries</t>
  </si>
  <si>
    <t>Regardless Avg net income for the 4 years is 27k</t>
  </si>
  <si>
    <t>With adjusted salaries and avg 4 yr revenue, there's 63.4k Net income</t>
  </si>
  <si>
    <t>Add amort back in</t>
  </si>
  <si>
    <t>4 yr avg with amort added back in</t>
  </si>
  <si>
    <t>Average estimated monthly costs with salaries(less amortization)</t>
  </si>
  <si>
    <t>5yr change</t>
  </si>
  <si>
    <t>1 yr change 2024-25</t>
  </si>
  <si>
    <t>(Sept estimate)</t>
  </si>
  <si>
    <t>Change in Revenue</t>
  </si>
  <si>
    <t>June</t>
  </si>
  <si>
    <t>July</t>
  </si>
  <si>
    <t>August</t>
  </si>
  <si>
    <t>Sept</t>
  </si>
  <si>
    <t>Change in revenue</t>
  </si>
  <si>
    <t>5 year average</t>
  </si>
  <si>
    <t>Current year end 2025</t>
  </si>
  <si>
    <t>revenue</t>
  </si>
  <si>
    <t>left to pay salaries and wages and owner</t>
  </si>
  <si>
    <t>Avg Salaries, wages and benefits for 23&amp;24 year ends</t>
  </si>
  <si>
    <t>estimated Net loss 2025 year end</t>
  </si>
  <si>
    <t>Estimated 2025 COGS based on 38% of sales</t>
  </si>
  <si>
    <t>Avg expenses- salaries for 23&amp;24 year ends</t>
  </si>
  <si>
    <t>1 yr change year end 2024 - year end 2025</t>
  </si>
  <si>
    <t>Last 4 months</t>
  </si>
  <si>
    <t>4 year averages 21-24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</si>
</sst>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#,##0_ ;[Red]\-#,##0\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/>
    <xf numFmtId="3" fontId="1" fillId="0" borderId="0" xfId="0" applyNumberFormat="1" applyFont="1"/>
    <xf numFmtId="10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right"/>
    </xf>
    <xf numFmtId="3" fontId="0" fillId="0" borderId="0" xfId="0" applyNumberFormat="1" applyAlignment="1">
      <alignment horizontal="right"/>
    </xf>
    <xf numFmtId="4" fontId="4" fillId="0" borderId="0" xfId="0" applyNumberFormat="1" applyFont="1"/>
    <xf numFmtId="10" fontId="4" fillId="0" borderId="0" xfId="0" applyNumberFormat="1" applyFont="1"/>
    <xf numFmtId="4" fontId="0" fillId="0" borderId="0" xfId="0" applyNumberFormat="1"/>
    <xf numFmtId="0" fontId="0" fillId="0" borderId="0" xfId="0" applyAlignment="1">
      <alignment horizontal="right"/>
    </xf>
    <xf numFmtId="10" fontId="0" fillId="0" borderId="0" xfId="0" applyNumberFormat="1"/>
    <xf numFmtId="4" fontId="5" fillId="0" borderId="0" xfId="0" applyNumberFormat="1" applyFont="1"/>
    <xf numFmtId="0" fontId="2" fillId="0" borderId="0" xfId="0" applyFont="1" applyAlignment="1">
      <alignment horizontal="left"/>
    </xf>
    <xf numFmtId="169" fontId="5" fillId="0" borderId="0" xfId="0" applyNumberFormat="1" applyFon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workbookViewId="0">
      <selection activeCell="C10" sqref="C10"/>
    </sheetView>
  </sheetViews>
  <sheetFormatPr defaultRowHeight="15" x14ac:dyDescent="0.25"/>
  <cols>
    <col min="1" max="1" width="57.28515625" bestFit="1" customWidth="1"/>
    <col min="3" max="3" width="11" bestFit="1" customWidth="1"/>
    <col min="9" max="9" width="14.7109375" style="10" bestFit="1" customWidth="1"/>
    <col min="11" max="11" width="18.28515625" bestFit="1" customWidth="1"/>
  </cols>
  <sheetData>
    <row r="1" spans="1:12" x14ac:dyDescent="0.25">
      <c r="A1" s="13"/>
      <c r="C1">
        <v>2025</v>
      </c>
      <c r="D1">
        <v>2024</v>
      </c>
      <c r="E1">
        <v>2023</v>
      </c>
      <c r="F1" s="1">
        <v>2022</v>
      </c>
      <c r="G1" s="1">
        <v>2021</v>
      </c>
      <c r="I1" s="10" t="s">
        <v>73</v>
      </c>
      <c r="K1" t="s">
        <v>54</v>
      </c>
      <c r="L1" s="14">
        <f>C3/G2-1</f>
        <v>-0.4616163354817322</v>
      </c>
    </row>
    <row r="2" spans="1:12" x14ac:dyDescent="0.25">
      <c r="A2" t="s">
        <v>0</v>
      </c>
      <c r="C2" s="18">
        <v>422257</v>
      </c>
      <c r="D2" s="1">
        <v>584866</v>
      </c>
      <c r="E2" s="1">
        <v>573773</v>
      </c>
      <c r="F2" s="1">
        <v>765618</v>
      </c>
      <c r="G2" s="1">
        <v>784305</v>
      </c>
      <c r="K2" t="s">
        <v>55</v>
      </c>
      <c r="L2" s="14">
        <f>C3/D3-1</f>
        <v>-0.2780277875615953</v>
      </c>
    </row>
    <row r="3" spans="1:12" x14ac:dyDescent="0.25">
      <c r="A3" s="3" t="s">
        <v>3</v>
      </c>
      <c r="B3" s="4"/>
      <c r="C3" s="17">
        <v>422257</v>
      </c>
      <c r="D3" s="5">
        <v>584866</v>
      </c>
      <c r="E3" s="5">
        <v>573773</v>
      </c>
      <c r="F3" s="5">
        <f>SUM(F2:F2)</f>
        <v>765618</v>
      </c>
      <c r="G3" s="5">
        <f>SUM(G2:G2)</f>
        <v>784305</v>
      </c>
      <c r="I3" s="10">
        <f>SUM(D3:G3)/4</f>
        <v>677140.5</v>
      </c>
    </row>
    <row r="4" spans="1:12" x14ac:dyDescent="0.25">
      <c r="D4" s="1"/>
      <c r="E4" s="1"/>
      <c r="F4" s="1"/>
      <c r="G4" s="1"/>
    </row>
    <row r="5" spans="1:12" x14ac:dyDescent="0.25">
      <c r="A5" s="3" t="s">
        <v>1</v>
      </c>
      <c r="B5" s="4"/>
      <c r="C5" s="5">
        <v>82000</v>
      </c>
      <c r="D5" s="5">
        <v>228959</v>
      </c>
      <c r="E5" s="5">
        <v>217588</v>
      </c>
      <c r="F5" s="5">
        <v>300854</v>
      </c>
      <c r="G5" s="5">
        <v>292197</v>
      </c>
      <c r="I5" s="10">
        <f t="shared" ref="I5:I39" si="0">SUM(D5:G5)/4</f>
        <v>259899.5</v>
      </c>
    </row>
    <row r="6" spans="1:12" x14ac:dyDescent="0.25">
      <c r="D6" s="1"/>
      <c r="E6" s="1"/>
      <c r="F6" s="1"/>
      <c r="G6" s="1"/>
    </row>
    <row r="7" spans="1:12" x14ac:dyDescent="0.25">
      <c r="A7" t="s">
        <v>4</v>
      </c>
      <c r="C7" s="1">
        <f>(C3-C5)</f>
        <v>340257</v>
      </c>
      <c r="D7" s="1">
        <f>(D3-D5)</f>
        <v>355907</v>
      </c>
      <c r="E7" s="1">
        <f>(E3-E5)</f>
        <v>356185</v>
      </c>
      <c r="F7" s="1">
        <f>(F3-F5)</f>
        <v>464764</v>
      </c>
      <c r="G7" s="1">
        <f>(G3-G5)</f>
        <v>492108</v>
      </c>
      <c r="I7" s="10">
        <f t="shared" si="0"/>
        <v>417241</v>
      </c>
    </row>
    <row r="8" spans="1:12" x14ac:dyDescent="0.25">
      <c r="A8" s="3" t="s">
        <v>33</v>
      </c>
      <c r="B8" s="4"/>
      <c r="C8" s="6">
        <f>C7/C3</f>
        <v>0.80580546918109108</v>
      </c>
      <c r="D8" s="6">
        <f>D7/D3</f>
        <v>0.60852742337561083</v>
      </c>
      <c r="E8" s="6">
        <f t="shared" ref="E8:G8" si="1">E7/E3</f>
        <v>0.62077685774687896</v>
      </c>
      <c r="F8" s="6">
        <f t="shared" si="1"/>
        <v>0.60704424399635326</v>
      </c>
      <c r="G8" s="6">
        <f t="shared" si="1"/>
        <v>0.62744468032206857</v>
      </c>
      <c r="I8" s="11">
        <f t="shared" si="0"/>
        <v>0.61594830136022782</v>
      </c>
    </row>
    <row r="9" spans="1:12" x14ac:dyDescent="0.25">
      <c r="A9" s="8" t="s">
        <v>34</v>
      </c>
    </row>
    <row r="10" spans="1:12" x14ac:dyDescent="0.25">
      <c r="A10" s="7" t="s">
        <v>5</v>
      </c>
    </row>
    <row r="11" spans="1:12" x14ac:dyDescent="0.25">
      <c r="A11" s="2" t="s">
        <v>6</v>
      </c>
      <c r="D11" s="1">
        <v>24</v>
      </c>
      <c r="E11" s="1">
        <v>3562</v>
      </c>
      <c r="F11" s="1">
        <v>1796</v>
      </c>
      <c r="G11" s="1">
        <v>6512</v>
      </c>
      <c r="H11" s="1"/>
      <c r="I11" s="10">
        <f t="shared" si="0"/>
        <v>2973.5</v>
      </c>
    </row>
    <row r="12" spans="1:12" x14ac:dyDescent="0.25">
      <c r="A12" s="2" t="s">
        <v>25</v>
      </c>
      <c r="D12" s="1">
        <v>602</v>
      </c>
      <c r="E12" s="1">
        <v>4089</v>
      </c>
      <c r="F12" s="1">
        <v>3782</v>
      </c>
      <c r="G12" s="1">
        <v>4809</v>
      </c>
      <c r="H12" s="1"/>
      <c r="I12" s="10">
        <f t="shared" si="0"/>
        <v>3320.5</v>
      </c>
    </row>
    <row r="13" spans="1:12" x14ac:dyDescent="0.25">
      <c r="A13" s="2" t="s">
        <v>7</v>
      </c>
      <c r="D13" s="1"/>
      <c r="E13" s="1"/>
      <c r="F13" s="1">
        <v>21876</v>
      </c>
      <c r="G13" s="1">
        <v>8235</v>
      </c>
      <c r="H13" s="1"/>
      <c r="I13" s="10">
        <f t="shared" si="0"/>
        <v>7527.75</v>
      </c>
    </row>
    <row r="14" spans="1:12" x14ac:dyDescent="0.25">
      <c r="A14" s="2" t="s">
        <v>8</v>
      </c>
      <c r="D14" s="1">
        <v>2524</v>
      </c>
      <c r="E14" s="1">
        <v>3117</v>
      </c>
      <c r="F14" s="1">
        <v>6515</v>
      </c>
      <c r="G14" s="1">
        <v>5067</v>
      </c>
      <c r="H14" s="1"/>
      <c r="I14" s="10">
        <f t="shared" si="0"/>
        <v>4305.75</v>
      </c>
    </row>
    <row r="15" spans="1:12" x14ac:dyDescent="0.25">
      <c r="A15" s="2" t="s">
        <v>9</v>
      </c>
      <c r="D15" s="1"/>
      <c r="E15" s="1"/>
      <c r="F15" s="1">
        <v>1321</v>
      </c>
      <c r="G15" s="1">
        <v>1254</v>
      </c>
      <c r="H15" s="1"/>
      <c r="I15" s="10">
        <f t="shared" si="0"/>
        <v>643.75</v>
      </c>
    </row>
    <row r="16" spans="1:12" x14ac:dyDescent="0.25">
      <c r="A16" s="2" t="s">
        <v>35</v>
      </c>
      <c r="D16" s="1">
        <v>131374</v>
      </c>
      <c r="E16" s="1">
        <v>187522</v>
      </c>
      <c r="F16" s="1">
        <v>313920</v>
      </c>
      <c r="G16" s="1">
        <v>330372</v>
      </c>
      <c r="H16" s="1"/>
      <c r="I16" s="10">
        <f>SUM(D16:G16)/4</f>
        <v>240797</v>
      </c>
    </row>
    <row r="17" spans="1:9" x14ac:dyDescent="0.25">
      <c r="A17" s="2" t="s">
        <v>10</v>
      </c>
      <c r="D17" s="1">
        <v>86</v>
      </c>
      <c r="E17" s="1">
        <v>5255</v>
      </c>
      <c r="F17" s="1">
        <v>2649</v>
      </c>
      <c r="G17" s="1">
        <v>7158</v>
      </c>
      <c r="H17" s="1"/>
      <c r="I17" s="10">
        <f t="shared" si="0"/>
        <v>3787</v>
      </c>
    </row>
    <row r="18" spans="1:9" x14ac:dyDescent="0.25">
      <c r="A18" s="2" t="s">
        <v>11</v>
      </c>
      <c r="D18" s="1">
        <v>3729</v>
      </c>
      <c r="E18" s="1">
        <v>4538</v>
      </c>
      <c r="F18" s="1">
        <v>5822</v>
      </c>
      <c r="G18" s="1">
        <v>7700</v>
      </c>
      <c r="H18" s="1"/>
      <c r="I18" s="10">
        <f t="shared" si="0"/>
        <v>5447.25</v>
      </c>
    </row>
    <row r="19" spans="1:9" x14ac:dyDescent="0.25">
      <c r="A19" s="2" t="s">
        <v>12</v>
      </c>
      <c r="D19" s="1">
        <v>93642</v>
      </c>
      <c r="E19" s="1">
        <v>80294</v>
      </c>
      <c r="F19" s="1">
        <v>77518</v>
      </c>
      <c r="G19" s="1">
        <v>70100</v>
      </c>
      <c r="H19" s="1"/>
      <c r="I19" s="10">
        <f t="shared" si="0"/>
        <v>80388.5</v>
      </c>
    </row>
    <row r="20" spans="1:9" x14ac:dyDescent="0.25">
      <c r="A20" s="2" t="s">
        <v>13</v>
      </c>
      <c r="D20" s="1">
        <f>(10488+780)</f>
        <v>11268</v>
      </c>
      <c r="E20" s="1">
        <v>3710</v>
      </c>
      <c r="F20" s="1">
        <v>6164</v>
      </c>
      <c r="G20" s="1">
        <v>6536</v>
      </c>
      <c r="H20" s="1"/>
      <c r="I20" s="10">
        <f t="shared" si="0"/>
        <v>6919.5</v>
      </c>
    </row>
    <row r="21" spans="1:9" x14ac:dyDescent="0.25">
      <c r="A21" s="2" t="s">
        <v>14</v>
      </c>
      <c r="D21" s="1">
        <f>(9189+87+1388)</f>
        <v>10664</v>
      </c>
      <c r="E21" s="1">
        <v>5704</v>
      </c>
      <c r="F21" s="1">
        <v>4054</v>
      </c>
      <c r="G21" s="1">
        <v>7375</v>
      </c>
      <c r="H21" s="1"/>
      <c r="I21" s="10">
        <f t="shared" si="0"/>
        <v>6949.25</v>
      </c>
    </row>
    <row r="22" spans="1:9" x14ac:dyDescent="0.25">
      <c r="A22" s="2" t="s">
        <v>15</v>
      </c>
      <c r="D22" s="1"/>
      <c r="E22" s="1">
        <v>5865</v>
      </c>
      <c r="F22" s="1">
        <v>6737</v>
      </c>
      <c r="G22" s="1">
        <v>9703</v>
      </c>
      <c r="H22" s="1"/>
      <c r="I22" s="10">
        <f t="shared" si="0"/>
        <v>5576.25</v>
      </c>
    </row>
    <row r="23" spans="1:9" x14ac:dyDescent="0.25">
      <c r="A23" s="2" t="s">
        <v>16</v>
      </c>
      <c r="D23" s="1"/>
      <c r="E23" s="1"/>
      <c r="F23" s="1">
        <v>200</v>
      </c>
      <c r="G23" s="1">
        <v>19217</v>
      </c>
      <c r="H23" s="1"/>
      <c r="I23" s="10">
        <f t="shared" si="0"/>
        <v>4854.25</v>
      </c>
    </row>
    <row r="24" spans="1:9" x14ac:dyDescent="0.25">
      <c r="A24" s="2" t="s">
        <v>17</v>
      </c>
      <c r="D24" s="1"/>
      <c r="E24" s="1">
        <v>156</v>
      </c>
      <c r="F24" s="1">
        <v>86</v>
      </c>
      <c r="G24" s="1">
        <v>240</v>
      </c>
      <c r="H24" s="1"/>
      <c r="I24" s="10">
        <f t="shared" si="0"/>
        <v>120.5</v>
      </c>
    </row>
    <row r="25" spans="1:9" x14ac:dyDescent="0.25">
      <c r="A25" s="2" t="s">
        <v>18</v>
      </c>
      <c r="D25" s="1"/>
      <c r="E25" s="1">
        <v>488</v>
      </c>
      <c r="F25" s="1">
        <v>359</v>
      </c>
      <c r="G25" s="1">
        <v>329</v>
      </c>
      <c r="H25" s="1"/>
      <c r="I25" s="10">
        <f t="shared" si="0"/>
        <v>294</v>
      </c>
    </row>
    <row r="26" spans="1:9" x14ac:dyDescent="0.25">
      <c r="A26" s="2" t="s">
        <v>19</v>
      </c>
      <c r="D26" s="1"/>
      <c r="E26" s="1">
        <v>2031</v>
      </c>
      <c r="F26" s="1">
        <v>1152</v>
      </c>
      <c r="G26" s="1">
        <v>1199</v>
      </c>
      <c r="H26" s="1"/>
      <c r="I26" s="10">
        <f t="shared" si="0"/>
        <v>1095.5</v>
      </c>
    </row>
    <row r="27" spans="1:9" x14ac:dyDescent="0.25">
      <c r="A27" s="2" t="s">
        <v>20</v>
      </c>
      <c r="D27" s="1"/>
      <c r="E27" s="1">
        <v>28609</v>
      </c>
      <c r="F27" s="1">
        <v>29135</v>
      </c>
      <c r="G27" s="1">
        <v>29294</v>
      </c>
      <c r="H27" s="1"/>
      <c r="I27" s="10">
        <f t="shared" si="0"/>
        <v>21759.5</v>
      </c>
    </row>
    <row r="28" spans="1:9" x14ac:dyDescent="0.25">
      <c r="A28" s="2" t="s">
        <v>21</v>
      </c>
      <c r="D28" s="1"/>
      <c r="E28" s="1"/>
      <c r="F28" s="1">
        <v>1676</v>
      </c>
      <c r="G28" s="1">
        <v>500</v>
      </c>
      <c r="H28" s="1"/>
      <c r="I28" s="10">
        <f t="shared" si="0"/>
        <v>544</v>
      </c>
    </row>
    <row r="29" spans="1:9" x14ac:dyDescent="0.25">
      <c r="A29" s="2" t="s">
        <v>22</v>
      </c>
      <c r="D29" s="1"/>
      <c r="E29" s="1"/>
      <c r="F29" s="1">
        <v>100</v>
      </c>
      <c r="G29" s="1">
        <v>105</v>
      </c>
      <c r="H29" s="1"/>
      <c r="I29" s="10">
        <f t="shared" si="0"/>
        <v>51.25</v>
      </c>
    </row>
    <row r="30" spans="1:9" x14ac:dyDescent="0.25">
      <c r="A30" s="2" t="s">
        <v>23</v>
      </c>
      <c r="D30" s="1"/>
      <c r="E30" s="1"/>
      <c r="F30" s="1"/>
      <c r="G30" s="1">
        <v>801</v>
      </c>
      <c r="H30" s="1"/>
      <c r="I30" s="10">
        <f t="shared" si="0"/>
        <v>200.25</v>
      </c>
    </row>
    <row r="31" spans="1:9" x14ac:dyDescent="0.25">
      <c r="A31" s="2" t="s">
        <v>26</v>
      </c>
      <c r="D31" s="1">
        <v>3901</v>
      </c>
      <c r="E31" s="1">
        <v>2625</v>
      </c>
      <c r="F31" s="1">
        <v>294</v>
      </c>
      <c r="G31" s="1">
        <v>795</v>
      </c>
      <c r="H31" s="1"/>
      <c r="I31" s="10">
        <f t="shared" si="0"/>
        <v>1903.75</v>
      </c>
    </row>
    <row r="32" spans="1:9" x14ac:dyDescent="0.25">
      <c r="A32" s="2" t="s">
        <v>27</v>
      </c>
      <c r="D32" s="1"/>
      <c r="E32" s="1"/>
      <c r="F32" s="1">
        <v>445</v>
      </c>
      <c r="G32" s="1">
        <v>40</v>
      </c>
      <c r="H32" s="1"/>
      <c r="I32" s="10">
        <f t="shared" si="0"/>
        <v>121.25</v>
      </c>
    </row>
    <row r="33" spans="1:10" x14ac:dyDescent="0.25">
      <c r="A33" s="2" t="s">
        <v>24</v>
      </c>
      <c r="D33" s="1">
        <v>799</v>
      </c>
      <c r="E33" s="1">
        <v>646</v>
      </c>
      <c r="F33" s="1">
        <v>646</v>
      </c>
      <c r="G33" s="1"/>
      <c r="H33" s="1"/>
      <c r="I33" s="10">
        <f t="shared" si="0"/>
        <v>522.75</v>
      </c>
    </row>
    <row r="34" spans="1:10" x14ac:dyDescent="0.25">
      <c r="A34" s="2" t="s">
        <v>32</v>
      </c>
      <c r="D34" s="1"/>
      <c r="E34" s="1">
        <v>1628</v>
      </c>
      <c r="F34" s="1"/>
      <c r="G34" s="1"/>
      <c r="H34" s="1"/>
      <c r="I34" s="10">
        <f t="shared" si="0"/>
        <v>407</v>
      </c>
    </row>
    <row r="35" spans="1:10" x14ac:dyDescent="0.25">
      <c r="A35" s="2" t="s">
        <v>31</v>
      </c>
      <c r="D35" s="1">
        <v>3123</v>
      </c>
      <c r="E35" s="1"/>
      <c r="F35" s="1"/>
      <c r="G35" s="1"/>
      <c r="H35" s="1"/>
      <c r="I35" s="10">
        <f t="shared" si="0"/>
        <v>780.75</v>
      </c>
    </row>
    <row r="36" spans="1:10" x14ac:dyDescent="0.25">
      <c r="A36" s="3" t="s">
        <v>28</v>
      </c>
      <c r="D36" s="1">
        <f>SUM(D11:D35)</f>
        <v>261736</v>
      </c>
      <c r="E36" s="1">
        <f>SUM(E11:E34)</f>
        <v>339839</v>
      </c>
      <c r="F36" s="1">
        <f>SUM(F11:F33)</f>
        <v>486247</v>
      </c>
      <c r="G36" s="1">
        <f>SUM(G11:G33)</f>
        <v>517341</v>
      </c>
      <c r="H36" s="1"/>
      <c r="I36" s="10">
        <f t="shared" si="0"/>
        <v>401290.75</v>
      </c>
    </row>
    <row r="37" spans="1:10" x14ac:dyDescent="0.25">
      <c r="A37" s="3" t="s">
        <v>41</v>
      </c>
      <c r="D37" s="1">
        <f>(D36-D16)</f>
        <v>130362</v>
      </c>
      <c r="E37" s="1">
        <f>(E36-E16)</f>
        <v>152317</v>
      </c>
      <c r="F37" s="1">
        <f>(F36-F16)</f>
        <v>172327</v>
      </c>
      <c r="G37" s="1">
        <f>(G36-G16)</f>
        <v>186969</v>
      </c>
      <c r="H37" s="1"/>
      <c r="I37" s="10">
        <f t="shared" si="0"/>
        <v>160493.75</v>
      </c>
    </row>
    <row r="38" spans="1:10" x14ac:dyDescent="0.25">
      <c r="A38" s="3" t="s">
        <v>42</v>
      </c>
      <c r="D38" s="1">
        <f>(D37+D5)</f>
        <v>359321</v>
      </c>
      <c r="E38" s="1">
        <f t="shared" ref="E38:G38" si="2">(E37+E5)</f>
        <v>369905</v>
      </c>
      <c r="F38" s="1">
        <f t="shared" si="2"/>
        <v>473181</v>
      </c>
      <c r="G38" s="1">
        <f t="shared" si="2"/>
        <v>479166</v>
      </c>
      <c r="H38" s="1"/>
      <c r="I38" s="10">
        <f t="shared" si="0"/>
        <v>420393.25</v>
      </c>
    </row>
    <row r="39" spans="1:10" x14ac:dyDescent="0.25">
      <c r="A39" s="3" t="s">
        <v>36</v>
      </c>
      <c r="D39" s="1">
        <f>D38/12</f>
        <v>29943.416666666668</v>
      </c>
      <c r="E39" s="1">
        <f t="shared" ref="E39:G39" si="3">E38/12</f>
        <v>30825.416666666668</v>
      </c>
      <c r="F39" s="1">
        <f t="shared" si="3"/>
        <v>39431.75</v>
      </c>
      <c r="G39" s="1">
        <f t="shared" si="3"/>
        <v>39930.5</v>
      </c>
      <c r="H39" s="9"/>
      <c r="I39" s="10">
        <f t="shared" si="0"/>
        <v>35032.770833333336</v>
      </c>
    </row>
    <row r="40" spans="1:10" x14ac:dyDescent="0.25">
      <c r="A40" s="3" t="s">
        <v>37</v>
      </c>
      <c r="B40" s="12">
        <v>7107.1</v>
      </c>
      <c r="D40" s="1"/>
      <c r="E40" s="1"/>
      <c r="F40" s="1"/>
      <c r="G40" s="1"/>
      <c r="H40" s="1"/>
    </row>
    <row r="41" spans="1:10" x14ac:dyDescent="0.25">
      <c r="A41" s="3" t="s">
        <v>38</v>
      </c>
      <c r="B41" s="12"/>
      <c r="D41" s="1"/>
      <c r="E41" s="1"/>
      <c r="F41" s="1"/>
      <c r="G41" s="1"/>
      <c r="H41" s="1"/>
      <c r="I41" s="10">
        <f>I38+(B40*12)+(B42*12)-I27</f>
        <v>591918.94999999995</v>
      </c>
      <c r="J41" t="s">
        <v>40</v>
      </c>
    </row>
    <row r="42" spans="1:10" x14ac:dyDescent="0.25">
      <c r="A42" s="3" t="s">
        <v>39</v>
      </c>
      <c r="B42" s="12">
        <v>9000</v>
      </c>
      <c r="D42" s="1"/>
      <c r="E42" s="1"/>
      <c r="F42" s="1"/>
      <c r="G42" s="1"/>
      <c r="H42" s="1"/>
      <c r="I42" s="10">
        <f>I41/12</f>
        <v>49326.579166666663</v>
      </c>
      <c r="J42" t="s">
        <v>53</v>
      </c>
    </row>
    <row r="43" spans="1:10" x14ac:dyDescent="0.25">
      <c r="D43" s="1"/>
      <c r="E43" s="1"/>
      <c r="F43" s="1"/>
      <c r="G43" s="1"/>
    </row>
    <row r="44" spans="1:10" x14ac:dyDescent="0.25">
      <c r="A44" s="2" t="s">
        <v>29</v>
      </c>
      <c r="D44" s="1">
        <f>(D3-D5-D36)</f>
        <v>94171</v>
      </c>
      <c r="E44" s="1">
        <f>(E3-E5-E36)</f>
        <v>16346</v>
      </c>
      <c r="F44" s="1">
        <f>(F3-F5-F36)</f>
        <v>-21483</v>
      </c>
      <c r="G44" s="1">
        <f>(G3-G5-G36)</f>
        <v>-25233</v>
      </c>
    </row>
    <row r="45" spans="1:10" x14ac:dyDescent="0.25">
      <c r="A45" s="2" t="s">
        <v>2</v>
      </c>
      <c r="D45" s="1"/>
      <c r="E45" s="1"/>
      <c r="F45" s="1">
        <v>16740</v>
      </c>
      <c r="G45" s="1"/>
    </row>
    <row r="46" spans="1:10" x14ac:dyDescent="0.25">
      <c r="A46" s="2" t="s">
        <v>30</v>
      </c>
      <c r="D46" s="1"/>
      <c r="E46" s="1"/>
      <c r="F46" s="1"/>
      <c r="G46" s="1">
        <v>28422</v>
      </c>
    </row>
    <row r="47" spans="1:10" x14ac:dyDescent="0.25">
      <c r="A47" s="3" t="s">
        <v>29</v>
      </c>
      <c r="D47" s="1">
        <f>SUM(D44:D45)</f>
        <v>94171</v>
      </c>
      <c r="E47" s="1">
        <f>SUM(E44:E45)</f>
        <v>16346</v>
      </c>
      <c r="F47" s="1">
        <f>SUM(F44:F45)</f>
        <v>-4743</v>
      </c>
      <c r="G47" s="1">
        <f>SUM(G44:G46)</f>
        <v>3189</v>
      </c>
      <c r="I47" s="10">
        <f>SUM(D47:G47)/4</f>
        <v>27240.75</v>
      </c>
      <c r="J47" t="s">
        <v>43</v>
      </c>
    </row>
    <row r="48" spans="1:10" x14ac:dyDescent="0.25">
      <c r="A48" s="13" t="s">
        <v>51</v>
      </c>
      <c r="D48" s="9">
        <v>94171</v>
      </c>
      <c r="E48" s="1">
        <f>E47+E27</f>
        <v>44955</v>
      </c>
      <c r="F48" s="1">
        <f t="shared" ref="F48:G48" si="4">F47+F27</f>
        <v>24392</v>
      </c>
      <c r="G48" s="1">
        <f t="shared" si="4"/>
        <v>32483</v>
      </c>
      <c r="I48" s="10">
        <f>SUM(D48:G48)/4</f>
        <v>49000.25</v>
      </c>
      <c r="J48" t="s">
        <v>52</v>
      </c>
    </row>
    <row r="49" spans="1:10" x14ac:dyDescent="0.25">
      <c r="I49" s="10">
        <f>I3-I41</f>
        <v>85221.550000000047</v>
      </c>
      <c r="J49" t="s">
        <v>44</v>
      </c>
    </row>
    <row r="50" spans="1:10" x14ac:dyDescent="0.25">
      <c r="A50" t="s">
        <v>45</v>
      </c>
    </row>
    <row r="51" spans="1:10" x14ac:dyDescent="0.25">
      <c r="A51" t="s">
        <v>46</v>
      </c>
    </row>
    <row r="52" spans="1:10" x14ac:dyDescent="0.25">
      <c r="A52" t="s">
        <v>48</v>
      </c>
    </row>
    <row r="53" spans="1:10" x14ac:dyDescent="0.25">
      <c r="A53" t="s">
        <v>47</v>
      </c>
    </row>
    <row r="54" spans="1:10" x14ac:dyDescent="0.25">
      <c r="A54" t="s">
        <v>49</v>
      </c>
    </row>
    <row r="55" spans="1:10" x14ac:dyDescent="0.25">
      <c r="A55" t="s">
        <v>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A11" sqref="A11:F15"/>
    </sheetView>
  </sheetViews>
  <sheetFormatPr defaultRowHeight="15" x14ac:dyDescent="0.25"/>
  <cols>
    <col min="1" max="1" width="11.42578125" customWidth="1"/>
    <col min="3" max="3" width="11" bestFit="1" customWidth="1"/>
    <col min="9" max="9" width="15.42578125" bestFit="1" customWidth="1"/>
  </cols>
  <sheetData>
    <row r="1" spans="1:9" x14ac:dyDescent="0.25">
      <c r="A1" s="7" t="s">
        <v>57</v>
      </c>
    </row>
    <row r="3" spans="1:9" x14ac:dyDescent="0.25">
      <c r="A3" s="13"/>
      <c r="C3">
        <v>2025</v>
      </c>
      <c r="D3">
        <v>2024</v>
      </c>
      <c r="E3">
        <v>2023</v>
      </c>
      <c r="F3" s="1">
        <v>2022</v>
      </c>
      <c r="G3" s="1">
        <v>2021</v>
      </c>
      <c r="I3" s="10" t="s">
        <v>63</v>
      </c>
    </row>
    <row r="4" spans="1:9" x14ac:dyDescent="0.25">
      <c r="A4" t="s">
        <v>0</v>
      </c>
      <c r="C4" s="12">
        <v>422257</v>
      </c>
      <c r="D4" s="1">
        <v>584866</v>
      </c>
      <c r="E4" s="1">
        <v>573773</v>
      </c>
      <c r="F4" s="1">
        <v>765618</v>
      </c>
      <c r="G4" s="1">
        <v>784305</v>
      </c>
      <c r="I4" s="10"/>
    </row>
    <row r="5" spans="1:9" x14ac:dyDescent="0.25">
      <c r="A5" s="3" t="s">
        <v>3</v>
      </c>
      <c r="B5" s="4"/>
      <c r="C5" s="15">
        <v>422257</v>
      </c>
      <c r="D5" s="5">
        <v>584866</v>
      </c>
      <c r="E5" s="5">
        <v>573773</v>
      </c>
      <c r="F5" s="5">
        <f>SUM(F4:F4)</f>
        <v>765618</v>
      </c>
      <c r="G5" s="5">
        <f>SUM(G4:G4)</f>
        <v>784305</v>
      </c>
      <c r="I5" s="10">
        <f>SUM(C5:G5)/5</f>
        <v>626163.80000000005</v>
      </c>
    </row>
    <row r="7" spans="1:9" x14ac:dyDescent="0.25">
      <c r="A7" t="s">
        <v>54</v>
      </c>
      <c r="B7" s="14">
        <f>C5/G4-1</f>
        <v>-0.4616163354817322</v>
      </c>
    </row>
    <row r="8" spans="1:9" x14ac:dyDescent="0.25">
      <c r="A8" t="s">
        <v>71</v>
      </c>
      <c r="B8" s="14">
        <f>C5/D5-1</f>
        <v>-0.2780277875615953</v>
      </c>
    </row>
    <row r="10" spans="1:9" x14ac:dyDescent="0.25">
      <c r="A10" t="s">
        <v>72</v>
      </c>
    </row>
    <row r="11" spans="1:9" x14ac:dyDescent="0.25">
      <c r="B11">
        <v>2025</v>
      </c>
      <c r="C11">
        <v>2024</v>
      </c>
      <c r="E11" t="s">
        <v>62</v>
      </c>
    </row>
    <row r="12" spans="1:9" x14ac:dyDescent="0.25">
      <c r="A12" s="13" t="s">
        <v>58</v>
      </c>
      <c r="B12" s="1">
        <v>33100</v>
      </c>
      <c r="C12" s="1">
        <v>51091</v>
      </c>
      <c r="E12" s="14">
        <f>B12/C12-1</f>
        <v>-0.35213638409896064</v>
      </c>
    </row>
    <row r="13" spans="1:9" x14ac:dyDescent="0.25">
      <c r="A13" s="13" t="s">
        <v>59</v>
      </c>
      <c r="B13" s="1">
        <v>28600</v>
      </c>
      <c r="C13" s="1">
        <v>44234</v>
      </c>
      <c r="E13" s="14">
        <f>B13/C13-1</f>
        <v>-0.3534385314463987</v>
      </c>
    </row>
    <row r="14" spans="1:9" x14ac:dyDescent="0.25">
      <c r="A14" s="13" t="s">
        <v>60</v>
      </c>
      <c r="B14" s="1">
        <v>30400</v>
      </c>
      <c r="C14" s="1">
        <v>45791</v>
      </c>
      <c r="E14" s="14">
        <f>B14/C14-1</f>
        <v>-0.33611408355353667</v>
      </c>
    </row>
    <row r="15" spans="1:9" x14ac:dyDescent="0.25">
      <c r="A15" s="13" t="s">
        <v>61</v>
      </c>
      <c r="B15" s="1">
        <f>C15*0.66</f>
        <v>35259.840000000004</v>
      </c>
      <c r="C15" s="1">
        <v>53424</v>
      </c>
      <c r="E15" s="14">
        <f>B15/C15-1</f>
        <v>-0.33999999999999997</v>
      </c>
      <c r="F15" t="s">
        <v>56</v>
      </c>
    </row>
    <row r="17" spans="1:3" x14ac:dyDescent="0.25">
      <c r="A17" s="16" t="s">
        <v>64</v>
      </c>
    </row>
    <row r="18" spans="1:3" x14ac:dyDescent="0.25">
      <c r="A18" s="13" t="s">
        <v>65</v>
      </c>
      <c r="B18" s="1">
        <v>422257</v>
      </c>
    </row>
    <row r="19" spans="1:3" x14ac:dyDescent="0.25">
      <c r="A19" s="13" t="s">
        <v>69</v>
      </c>
      <c r="C19" s="1">
        <f>B18*0.38</f>
        <v>160457.66</v>
      </c>
    </row>
    <row r="20" spans="1:3" x14ac:dyDescent="0.25">
      <c r="A20" s="13" t="s">
        <v>70</v>
      </c>
      <c r="C20" s="1">
        <v>141250</v>
      </c>
    </row>
    <row r="21" spans="1:3" x14ac:dyDescent="0.25">
      <c r="A21" s="13" t="s">
        <v>66</v>
      </c>
      <c r="B21" s="1">
        <f>B18-C19-C20</f>
        <v>120549.34</v>
      </c>
    </row>
    <row r="22" spans="1:3" x14ac:dyDescent="0.25">
      <c r="A22" s="13" t="s">
        <v>67</v>
      </c>
      <c r="C22" s="1">
        <v>159000</v>
      </c>
    </row>
    <row r="23" spans="1:3" x14ac:dyDescent="0.25">
      <c r="A23" s="3" t="s">
        <v>68</v>
      </c>
      <c r="B23" s="5">
        <f>B21-C22</f>
        <v>-38450.660000000003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2021-2024 Income summary</vt:lpstr>
      <vt:lpstr>Change in revenue and Estimates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Edwards</dc:creator>
  <cp:lastModifiedBy>Dan Edwards</cp:lastModifiedBy>
  <dcterms:created xsi:type="dcterms:W3CDTF">2025-08-26T09:31:01Z</dcterms:created>
  <dcterms:modified xsi:type="dcterms:W3CDTF">2025-09-09T10:54:17Z</dcterms:modified>
</cp:coreProperties>
</file>